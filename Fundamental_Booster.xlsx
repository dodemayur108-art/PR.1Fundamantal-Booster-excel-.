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odeR\Documents\Rnw Excel\"/>
    </mc:Choice>
  </mc:AlternateContent>
  <xr:revisionPtr revIDLastSave="0" documentId="8_{1FB270B4-52AC-4759-A350-DAD2A0F5083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ADME" sheetId="1" r:id="rId1"/>
    <sheet name="Students" sheetId="2" r:id="rId2"/>
    <sheet name="Sales" sheetId="3" r:id="rId3"/>
    <sheet name="Functions" sheetId="5" r:id="rId4"/>
    <sheet name="Employees" sheetId="4" r:id="rId5"/>
  </sheets>
  <definedNames>
    <definedName name="_xlnm._FilterDatabase" localSheetId="4" hidden="1">Employees!$A$3:$G$23</definedName>
    <definedName name="_xlnm._FilterDatabase" localSheetId="2" hidden="1">Sales!$A$3:$I$23</definedName>
    <definedName name="_xlnm._FilterDatabase" localSheetId="1" hidden="1">Students!$A$3:$J$23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5" l="1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G15" i="4"/>
  <c r="F15" i="4"/>
  <c r="G14" i="4"/>
  <c r="F14" i="4"/>
  <c r="G13" i="4"/>
  <c r="F13" i="4"/>
  <c r="G12" i="4"/>
  <c r="F12" i="4"/>
  <c r="G11" i="4"/>
  <c r="F11" i="4"/>
  <c r="G10" i="4"/>
  <c r="F10" i="4"/>
  <c r="G9" i="4"/>
  <c r="F9" i="4"/>
  <c r="G8" i="4"/>
  <c r="F8" i="4"/>
  <c r="G7" i="4"/>
  <c r="F7" i="4"/>
  <c r="G6" i="4"/>
  <c r="F6" i="4"/>
  <c r="G5" i="4"/>
  <c r="F5" i="4"/>
  <c r="G4" i="4"/>
  <c r="F4" i="4"/>
  <c r="H23" i="3"/>
  <c r="I23" i="3" s="1"/>
  <c r="G23" i="3"/>
  <c r="H22" i="3"/>
  <c r="I22" i="3" s="1"/>
  <c r="G22" i="3"/>
  <c r="L21" i="3"/>
  <c r="I21" i="3"/>
  <c r="H21" i="3"/>
  <c r="G21" i="3"/>
  <c r="L20" i="3"/>
  <c r="H20" i="3"/>
  <c r="I20" i="3" s="1"/>
  <c r="G20" i="3"/>
  <c r="H19" i="3"/>
  <c r="I19" i="3" s="1"/>
  <c r="G19" i="3"/>
  <c r="L18" i="3"/>
  <c r="H18" i="3"/>
  <c r="I18" i="3" s="1"/>
  <c r="G18" i="3"/>
  <c r="H17" i="3"/>
  <c r="I17" i="3" s="1"/>
  <c r="G17" i="3"/>
  <c r="L16" i="3"/>
  <c r="H16" i="3"/>
  <c r="I16" i="3" s="1"/>
  <c r="G16" i="3"/>
  <c r="L15" i="3"/>
  <c r="H15" i="3"/>
  <c r="I15" i="3" s="1"/>
  <c r="G15" i="3"/>
  <c r="H14" i="3"/>
  <c r="I14" i="3" s="1"/>
  <c r="G14" i="3"/>
  <c r="L13" i="3"/>
  <c r="H13" i="3"/>
  <c r="I13" i="3" s="1"/>
  <c r="G13" i="3"/>
  <c r="L12" i="3"/>
  <c r="H12" i="3"/>
  <c r="I12" i="3" s="1"/>
  <c r="G12" i="3"/>
  <c r="L11" i="3"/>
  <c r="H11" i="3"/>
  <c r="I11" i="3" s="1"/>
  <c r="G11" i="3"/>
  <c r="H10" i="3"/>
  <c r="I10" i="3" s="1"/>
  <c r="G10" i="3"/>
  <c r="H9" i="3"/>
  <c r="I9" i="3" s="1"/>
  <c r="G9" i="3"/>
  <c r="H8" i="3"/>
  <c r="I8" i="3" s="1"/>
  <c r="G8" i="3"/>
  <c r="H7" i="3"/>
  <c r="I7" i="3" s="1"/>
  <c r="G7" i="3"/>
  <c r="H6" i="3"/>
  <c r="I6" i="3" s="1"/>
  <c r="G6" i="3"/>
  <c r="H5" i="3"/>
  <c r="I5" i="3" s="1"/>
  <c r="G5" i="3"/>
  <c r="H4" i="3"/>
  <c r="I4" i="3" s="1"/>
  <c r="G4" i="3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  <c r="G4" i="2"/>
</calcChain>
</file>

<file path=xl/sharedStrings.xml><?xml version="1.0" encoding="utf-8"?>
<sst xmlns="http://schemas.openxmlformats.org/spreadsheetml/2006/main" count="249" uniqueCount="192">
  <si>
    <t>PR. 1 Fundamental Booster — Excel Project</t>
  </si>
  <si>
    <t>Project Goal: Complete the supplied Student, Sales and Employee datasets using fundamental Excel formulas and formatting.</t>
  </si>
  <si>
    <t>Sheets included: Students, Sales, Employees, Functions, README.</t>
  </si>
  <si>
    <t>Students: IF grading, COUNTIFS, IF+AND, FILTER, AVERAGEIFS and date calculations.</t>
  </si>
  <si>
    <t>Sales: IF discount, VLOOKUP, XLOOKUP, SUMIFS, AVERAGEIFS, INDEX/MATCH, XMATCH, INDIRECT and OFFSET.</t>
  </si>
  <si>
    <t>Employees: XLOOKUP salary/name/department, joining-date analysis, years of service and salary band.</t>
  </si>
  <si>
    <t>Functions: Reference formulas and examples for TEXT/string, lookup, date, math and dynamic-reference functions.</t>
  </si>
  <si>
    <t>Important: Formulas are intentionally visible in cells so the workbook can be used as a learning/project submission file.</t>
  </si>
  <si>
    <t>Source basis: PR. 1 Fundamental Booster Project Instructions and the supplied Employee, Sales and Students Grade datasets.</t>
  </si>
  <si>
    <t>Students Grade Analysis</t>
  </si>
  <si>
    <t>Student ID</t>
  </si>
  <si>
    <t>Name</t>
  </si>
  <si>
    <t>Math</t>
  </si>
  <si>
    <t>Science</t>
  </si>
  <si>
    <t>English</t>
  </si>
  <si>
    <t>Enrollment Date</t>
  </si>
  <si>
    <t>Grade</t>
  </si>
  <si>
    <t>Math &gt; 60</t>
  </si>
  <si>
    <t>Math &amp; Science &gt; 80</t>
  </si>
  <si>
    <t>Age/Years Since Enrollment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</si>
  <si>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</si>
  <si>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</si>
  <si>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</si>
  <si>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</si>
  <si>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</si>
  <si>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</si>
  <si>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</si>
  <si>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</si>
  <si>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</si>
  <si>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</si>
  <si>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</si>
  <si>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</si>
  <si>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</si>
  <si>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</si>
  <si>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</si>
  <si>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</si>
  <si>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</si>
  <si>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</si>
  <si>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</si>
  <si>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</si>
  <si>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Student Analysis Summary</t>
  </si>
  <si>
    <t>Students with Math &gt; 60</t>
  </si>
  <si>
    <t>Average score of students with Math &gt; 60</t>
  </si>
  <si>
    <t>Students with Math &amp; Science &gt; 80</t>
  </si>
  <si>
    <t>FILTER: Students with average score &gt; 80</t>
  </si>
  <si>
    <t>Sales Analysis</t>
  </si>
  <si>
    <t>Sales ID</t>
  </si>
  <si>
    <t>Product</t>
  </si>
  <si>
    <t>Region</t>
  </si>
  <si>
    <t>Salesperson</t>
  </si>
  <si>
    <t>Amount</t>
  </si>
  <si>
    <t>Date</t>
  </si>
  <si>
    <t>Discount %</t>
  </si>
  <si>
    <t>Discount Amount</t>
  </si>
  <si>
    <t>Net Sales</t>
  </si>
  <si>
    <t>Price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</si>
  <si>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</si>
  <si>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</si>
  <si>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</si>
  <si>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</si>
  <si>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</si>
  <si>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</si>
  <si>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</si>
  <si>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</si>
  <si>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</si>
  <si>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</si>
  <si>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Monitor</t>
  </si>
  <si>
    <t>North</t>
  </si>
  <si>
    <t>Person 5</t>
  </si>
  <si>
    <t>Laptop</t>
  </si>
  <si>
    <t>Person 6</t>
  </si>
  <si>
    <t>Person 7</t>
  </si>
  <si>
    <t>Person 8</t>
  </si>
  <si>
    <t>VLOOKUP Product Price</t>
  </si>
  <si>
    <t>Person 9</t>
  </si>
  <si>
    <t>XLOOKUP Product Price</t>
  </si>
  <si>
    <t>Person 10</t>
  </si>
  <si>
    <t>XMATCH Product Position</t>
  </si>
  <si>
    <t>Person 11</t>
  </si>
  <si>
    <t>Person 12</t>
  </si>
  <si>
    <t>SUMIFS South Keyboard</t>
  </si>
  <si>
    <t>Person 13</t>
  </si>
  <si>
    <t>AVERAGEIFS East</t>
  </si>
  <si>
    <t>Person 14</t>
  </si>
  <si>
    <t>Person 15</t>
  </si>
  <si>
    <t>INDEX/MATCH Person 10</t>
  </si>
  <si>
    <t>Person 16</t>
  </si>
  <si>
    <t>Person 17</t>
  </si>
  <si>
    <t>INDIRECT Amount first row</t>
  </si>
  <si>
    <t>Person 18</t>
  </si>
  <si>
    <t>OFFSET Amount 2 rows down</t>
  </si>
  <si>
    <t>Person 19</t>
  </si>
  <si>
    <t>Person 20</t>
  </si>
  <si>
    <t>Employee Analysis</t>
  </si>
  <si>
    <t>Employee ID</t>
  </si>
  <si>
    <t>Department</t>
  </si>
  <si>
    <t>Salary</t>
  </si>
  <si>
    <t>Joining Date</t>
  </si>
  <si>
    <t>Years of Service</t>
  </si>
  <si>
    <t>Salary Band</t>
  </si>
  <si>
    <t>Lookup</t>
  </si>
  <si>
    <t>Result</t>
  </si>
  <si>
    <t>Employee 1</t>
  </si>
  <si>
    <t>Finance</t>
  </si>
  <si>
    <t>Employee 2</t>
  </si>
  <si>
    <t>XLOOKUP Salary</t>
  </si>
  <si>
    <t>Employee 3</t>
  </si>
  <si>
    <t>HR</t>
  </si>
  <si>
    <t>XLOOKUP Name</t>
  </si>
  <si>
    <t>Employee 4</t>
  </si>
  <si>
    <t>XLOOKUP Department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</si>
  <si>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</si>
  <si>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</si>
  <si>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</si>
  <si>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</si>
  <si>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</si>
  <si>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</si>
  <si>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</si>
  <si>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</si>
  <si>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</si>
  <si>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</si>
  <si>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</si>
  <si>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</si>
  <si>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</si>
  <si>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</si>
  <si>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</si>
  <si>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</si>
  <si>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</si>
  <si>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</si>
  <si>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Excel Fundamental Functions Practice</t>
  </si>
  <si>
    <t>Function</t>
  </si>
  <si>
    <t>Purpose</t>
  </si>
  <si>
    <t>Example Formula</t>
  </si>
  <si>
    <t>Result / Usage</t>
  </si>
  <si>
    <t>IF</t>
  </si>
  <si>
    <t>Conditional classification</t>
  </si>
  <si>
    <t>A</t>
  </si>
  <si>
    <t>IF + AND</t>
  </si>
  <si>
    <t>Multiple conditions</t>
  </si>
  <si>
    <t>Eligible</t>
  </si>
  <si>
    <t>IF + OR</t>
  </si>
  <si>
    <t>Either condition</t>
  </si>
  <si>
    <t>COUNTIFS</t>
  </si>
  <si>
    <t>Count multiple criteria</t>
  </si>
  <si>
    <t>Student count</t>
  </si>
  <si>
    <t>SUMIFS</t>
  </si>
  <si>
    <t>Sum with conditions</t>
  </si>
  <si>
    <t>Sales total</t>
  </si>
  <si>
    <t>AVERAGEIFS</t>
  </si>
  <si>
    <t>Average with criteria</t>
  </si>
  <si>
    <t>Average</t>
  </si>
  <si>
    <t>VLOOKUP</t>
  </si>
  <si>
    <t>Vertical lookup</t>
  </si>
  <si>
    <t>Product price</t>
  </si>
  <si>
    <t>XLOOKUP</t>
  </si>
  <si>
    <t>Flexible lookup</t>
  </si>
  <si>
    <t>Employee salary</t>
  </si>
  <si>
    <t>INDEX/MATCH</t>
  </si>
  <si>
    <t>Dynamic lookup</t>
  </si>
  <si>
    <t>Sales value</t>
  </si>
  <si>
    <t>LEFT + FIND</t>
  </si>
  <si>
    <t>Extract first name</t>
  </si>
  <si>
    <t>John</t>
  </si>
  <si>
    <t>UPPER</t>
  </si>
  <si>
    <t>Uppercase text</t>
  </si>
  <si>
    <t>EXCEL</t>
  </si>
  <si>
    <t>LOWER</t>
  </si>
  <si>
    <t>Lowercase text</t>
  </si>
  <si>
    <t>excel</t>
  </si>
  <si>
    <t>XMATCH</t>
  </si>
  <si>
    <t>Find position</t>
  </si>
  <si>
    <t>Position</t>
  </si>
  <si>
    <t>INDIRECT</t>
  </si>
  <si>
    <t>Dynamic reference</t>
  </si>
  <si>
    <t>Cell value</t>
  </si>
  <si>
    <t>OFFSET</t>
  </si>
  <si>
    <t>Dynamic range/reference</t>
  </si>
  <si>
    <t>DATEDIF</t>
  </si>
  <si>
    <t>Date difference</t>
  </si>
  <si>
    <t>Years</t>
  </si>
  <si>
    <t>ROUND</t>
  </si>
  <si>
    <t>Round number</t>
  </si>
  <si>
    <t>1234.57</t>
  </si>
  <si>
    <t>CEILING</t>
  </si>
  <si>
    <t>Round upward</t>
  </si>
  <si>
    <t>1300</t>
  </si>
  <si>
    <t>FLOOR</t>
  </si>
  <si>
    <t>Round downward</t>
  </si>
  <si>
    <t>1200</t>
  </si>
  <si>
    <t>FILTER</t>
  </si>
  <si>
    <t>Return matching rows</t>
  </si>
  <si>
    <t>Top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</si>
</sst>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3"/>
      <name val="Calibri"/>
    </font>
    <font>
      <b/>
      <sz val="11"/>
      <name val="Calibri"/>
    </font>
    <font>
      <b/>
      <sz val="18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5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4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E5" sqref="E5"/>
    </sheetView>
  </sheetViews>
  <sheetFormatPr defaultRowHeight="14.4" x14ac:dyDescent="0.3"/>
  <cols>
    <col min="1" max="1" width="105" customWidth="1"/>
  </cols>
  <sheetData>
    <row r="1" spans="1:1" ht="23.4" x14ac:dyDescent="0.3">
      <c r="A1" s="1" t="s">
        <v>0</v>
      </c>
    </row>
    <row r="3" spans="1:1" ht="30" customHeight="1" x14ac:dyDescent="0.3">
      <c r="A3" s="2" t="s">
        <v>1</v>
      </c>
    </row>
    <row r="4" spans="1:1" ht="30" customHeight="1" x14ac:dyDescent="0.3">
      <c r="A4" s="2" t="s">
        <v>2</v>
      </c>
    </row>
    <row r="5" spans="1:1" ht="30" customHeight="1" x14ac:dyDescent="0.3">
      <c r="A5" s="2" t="s">
        <v>3</v>
      </c>
    </row>
    <row r="6" spans="1:1" ht="30" customHeight="1" x14ac:dyDescent="0.3">
      <c r="A6" s="2" t="s">
        <v>4</v>
      </c>
    </row>
    <row r="7" spans="1:1" ht="30" customHeight="1" x14ac:dyDescent="0.3">
      <c r="A7" s="2" t="s">
        <v>5</v>
      </c>
    </row>
    <row r="8" spans="1:1" ht="30" customHeight="1" x14ac:dyDescent="0.3">
      <c r="A8" s="2" t="s">
        <v>6</v>
      </c>
    </row>
    <row r="9" spans="1:1" ht="30" customHeight="1" x14ac:dyDescent="0.3">
      <c r="A9" s="2" t="s">
        <v>7</v>
      </c>
    </row>
    <row r="10" spans="1:1" ht="30" customHeight="1" x14ac:dyDescent="0.3">
      <c r="A10" s="2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workbookViewId="0">
      <pane ySplit="3" topLeftCell="A4" activePane="bottomLeft" state="frozen"/>
      <selection pane="bottomLeft" activeCell="M12" sqref="M12"/>
    </sheetView>
  </sheetViews>
  <sheetFormatPr defaultRowHeight="14.4" x14ac:dyDescent="0.3"/>
  <cols>
    <col min="1" max="5" width="14" customWidth="1"/>
    <col min="6" max="6" width="17" customWidth="1"/>
    <col min="7" max="8" width="14" customWidth="1"/>
    <col min="9" max="9" width="21" customWidth="1"/>
    <col min="10" max="10" width="22" customWidth="1"/>
  </cols>
  <sheetData>
    <row r="1" spans="1:10" ht="21" x14ac:dyDescent="0.3">
      <c r="A1" s="12" t="s">
        <v>9</v>
      </c>
      <c r="B1" s="13"/>
      <c r="C1" s="13"/>
      <c r="D1" s="13"/>
      <c r="E1" s="13"/>
      <c r="F1" s="13"/>
      <c r="G1" s="13"/>
      <c r="H1" s="13"/>
      <c r="I1" s="13"/>
      <c r="J1" s="13"/>
    </row>
    <row r="3" spans="1:10" x14ac:dyDescent="0.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 t="s">
        <v>18</v>
      </c>
      <c r="J3" s="3" t="s">
        <v>19</v>
      </c>
    </row>
    <row r="4" spans="1:10" x14ac:dyDescent="0.3">
      <c r="A4" s="4">
        <v>1001</v>
      </c>
      <c r="B4" s="4" t="s">
        <v>20</v>
      </c>
      <c r="C4" s="4">
        <v>61</v>
      </c>
      <c r="D4" s="4">
        <v>48</v>
      </c>
      <c r="E4" s="4">
        <v>76</v>
      </c>
      <c r="F4" s="5">
        <v>43101</v>
      </c>
      <c r="G4" s="2" t="str">
        <f t="shared" ref="G4:G23" si="0">IF(AVERAGE(C4:E4)&gt;=80,"A",IF(AVERAGE(C4:E4)&gt;=60,"B",IF(AVERAGE(C4:E4)&gt;=50,"C","D")))</f>
        <v>B</v>
      </c>
      <c r="H4" s="2" t="str">
        <f t="shared" ref="H4:H23" si="1">IF(C4&gt;60,"Yes","No")</f>
        <v>Yes</v>
      </c>
      <c r="I4" s="2" t="str">
        <f t="shared" ref="I4:I23" si="2">IF(AND(C4&gt;80,D4&gt;80),"Eligible","Not Eligible")</f>
        <v>Not Eligible</v>
      </c>
      <c r="J4" s="2">
        <f t="shared" ref="J4:J23" ca="1" si="3">DATEDIF(F4,TODAY(),"Y")</f>
        <v>8</v>
      </c>
    </row>
    <row r="5" spans="1:10" x14ac:dyDescent="0.3">
      <c r="A5" s="4">
        <v>1002</v>
      </c>
      <c r="B5" s="4" t="s">
        <v>21</v>
      </c>
      <c r="C5" s="4">
        <v>78</v>
      </c>
      <c r="D5" s="4">
        <v>76</v>
      </c>
      <c r="E5" s="4">
        <v>70</v>
      </c>
      <c r="F5" s="5">
        <v>43281</v>
      </c>
      <c r="G5" s="2" t="str">
        <f t="shared" si="0"/>
        <v>B</v>
      </c>
      <c r="H5" s="2" t="str">
        <f t="shared" si="1"/>
        <v>Yes</v>
      </c>
      <c r="I5" s="2" t="str">
        <f t="shared" si="2"/>
        <v>Not Eligible</v>
      </c>
      <c r="J5" s="2">
        <f t="shared" ca="1" si="3"/>
        <v>8</v>
      </c>
    </row>
    <row r="6" spans="1:10" x14ac:dyDescent="0.3">
      <c r="A6" s="4">
        <v>1003</v>
      </c>
      <c r="B6" s="4" t="s">
        <v>22</v>
      </c>
      <c r="C6" s="4">
        <v>97</v>
      </c>
      <c r="D6" s="4">
        <v>60</v>
      </c>
      <c r="E6" s="4">
        <v>51</v>
      </c>
      <c r="F6" s="5">
        <v>43461</v>
      </c>
      <c r="G6" s="2" t="str">
        <f t="shared" si="0"/>
        <v>B</v>
      </c>
      <c r="H6" s="2" t="str">
        <f t="shared" si="1"/>
        <v>Yes</v>
      </c>
      <c r="I6" s="2" t="str">
        <f t="shared" si="2"/>
        <v>Not Eligible</v>
      </c>
      <c r="J6" s="2">
        <f t="shared" ca="1" si="3"/>
        <v>7</v>
      </c>
    </row>
    <row r="7" spans="1:10" x14ac:dyDescent="0.3">
      <c r="A7" s="4">
        <v>1004</v>
      </c>
      <c r="B7" s="4" t="s">
        <v>23</v>
      </c>
      <c r="C7" s="4">
        <v>74</v>
      </c>
      <c r="D7" s="4">
        <v>55</v>
      </c>
      <c r="E7" s="4">
        <v>46</v>
      </c>
      <c r="F7" s="5">
        <v>43641</v>
      </c>
      <c r="G7" s="2" t="str">
        <f t="shared" si="0"/>
        <v>C</v>
      </c>
      <c r="H7" s="2" t="str">
        <f t="shared" si="1"/>
        <v>Yes</v>
      </c>
      <c r="I7" s="2" t="str">
        <f t="shared" si="2"/>
        <v>Not Eligible</v>
      </c>
      <c r="J7" s="2">
        <f t="shared" ca="1" si="3"/>
        <v>7</v>
      </c>
    </row>
    <row r="8" spans="1:10" x14ac:dyDescent="0.3">
      <c r="A8" s="4">
        <v>1005</v>
      </c>
      <c r="B8" s="4" t="s">
        <v>24</v>
      </c>
      <c r="C8" s="4">
        <v>68</v>
      </c>
      <c r="D8" s="4">
        <v>74</v>
      </c>
      <c r="E8" s="4">
        <v>84</v>
      </c>
      <c r="F8" s="5">
        <v>43821</v>
      </c>
      <c r="G8" s="2" t="str">
        <f t="shared" si="0"/>
        <v>B</v>
      </c>
      <c r="H8" s="2" t="str">
        <f t="shared" si="1"/>
        <v>Yes</v>
      </c>
      <c r="I8" s="2" t="str">
        <f t="shared" si="2"/>
        <v>Not Eligible</v>
      </c>
      <c r="J8" s="2">
        <f t="shared" ca="1" si="3"/>
        <v>6</v>
      </c>
    </row>
    <row r="9" spans="1:10" x14ac:dyDescent="0.3">
      <c r="A9" s="4">
        <v>1006</v>
      </c>
      <c r="B9" s="4" t="s">
        <v>25</v>
      </c>
      <c r="C9" s="4">
        <v>80</v>
      </c>
      <c r="D9" s="4">
        <v>70</v>
      </c>
      <c r="E9" s="4">
        <v>65</v>
      </c>
      <c r="F9" s="5">
        <v>44001</v>
      </c>
      <c r="G9" s="2" t="str">
        <f t="shared" si="0"/>
        <v>B</v>
      </c>
      <c r="H9" s="2" t="str">
        <f t="shared" si="1"/>
        <v>Yes</v>
      </c>
      <c r="I9" s="2" t="str">
        <f t="shared" si="2"/>
        <v>Not Eligible</v>
      </c>
      <c r="J9" s="2">
        <f t="shared" ca="1" si="3"/>
        <v>6</v>
      </c>
    </row>
    <row r="10" spans="1:10" x14ac:dyDescent="0.3">
      <c r="A10" s="4">
        <v>1007</v>
      </c>
      <c r="B10" s="4" t="s">
        <v>26</v>
      </c>
      <c r="C10" s="4">
        <v>75</v>
      </c>
      <c r="D10" s="4">
        <v>47</v>
      </c>
      <c r="E10" s="4">
        <v>78</v>
      </c>
      <c r="F10" s="5">
        <v>44181</v>
      </c>
      <c r="G10" s="2" t="str">
        <f t="shared" si="0"/>
        <v>B</v>
      </c>
      <c r="H10" s="2" t="str">
        <f t="shared" si="1"/>
        <v>Yes</v>
      </c>
      <c r="I10" s="2" t="str">
        <f t="shared" si="2"/>
        <v>Not Eligible</v>
      </c>
      <c r="J10" s="2">
        <f t="shared" ca="1" si="3"/>
        <v>5</v>
      </c>
    </row>
    <row r="11" spans="1:10" x14ac:dyDescent="0.3">
      <c r="A11" s="4">
        <v>1008</v>
      </c>
      <c r="B11" s="4" t="s">
        <v>27</v>
      </c>
      <c r="C11" s="4">
        <v>94</v>
      </c>
      <c r="D11" s="4">
        <v>67</v>
      </c>
      <c r="E11" s="4">
        <v>64</v>
      </c>
      <c r="F11" s="5">
        <v>44361</v>
      </c>
      <c r="G11" s="2" t="str">
        <f t="shared" si="0"/>
        <v>B</v>
      </c>
      <c r="H11" s="2" t="str">
        <f t="shared" si="1"/>
        <v>Yes</v>
      </c>
      <c r="I11" s="2" t="str">
        <f t="shared" si="2"/>
        <v>Not Eligible</v>
      </c>
      <c r="J11" s="2">
        <f t="shared" ca="1" si="3"/>
        <v>5</v>
      </c>
    </row>
    <row r="12" spans="1:10" x14ac:dyDescent="0.3">
      <c r="A12" s="4">
        <v>1009</v>
      </c>
      <c r="B12" s="4" t="s">
        <v>28</v>
      </c>
      <c r="C12" s="4">
        <v>41</v>
      </c>
      <c r="D12" s="4">
        <v>75</v>
      </c>
      <c r="E12" s="4">
        <v>56</v>
      </c>
      <c r="F12" s="5">
        <v>44541</v>
      </c>
      <c r="G12" s="2" t="str">
        <f t="shared" si="0"/>
        <v>C</v>
      </c>
      <c r="H12" s="2" t="str">
        <f t="shared" si="1"/>
        <v>No</v>
      </c>
      <c r="I12" s="2" t="str">
        <f t="shared" si="2"/>
        <v>Not Eligible</v>
      </c>
      <c r="J12" s="2">
        <f t="shared" ca="1" si="3"/>
        <v>4</v>
      </c>
    </row>
    <row r="13" spans="1:10" x14ac:dyDescent="0.3">
      <c r="A13" s="4">
        <v>1010</v>
      </c>
      <c r="B13" s="4" t="s">
        <v>29</v>
      </c>
      <c r="C13" s="4">
        <v>98</v>
      </c>
      <c r="D13" s="4">
        <v>54</v>
      </c>
      <c r="E13" s="4">
        <v>58</v>
      </c>
      <c r="F13" s="5">
        <v>44721</v>
      </c>
      <c r="G13" s="2" t="str">
        <f t="shared" si="0"/>
        <v>B</v>
      </c>
      <c r="H13" s="2" t="str">
        <f t="shared" si="1"/>
        <v>Yes</v>
      </c>
      <c r="I13" s="2" t="str">
        <f t="shared" si="2"/>
        <v>Not Eligible</v>
      </c>
      <c r="J13" s="2">
        <f t="shared" ca="1" si="3"/>
        <v>4</v>
      </c>
    </row>
    <row r="14" spans="1:10" x14ac:dyDescent="0.3">
      <c r="A14" s="4">
        <v>1011</v>
      </c>
      <c r="B14" s="4" t="s">
        <v>30</v>
      </c>
      <c r="C14" s="4">
        <v>73</v>
      </c>
      <c r="D14" s="4">
        <v>79</v>
      </c>
      <c r="E14" s="4">
        <v>53</v>
      </c>
      <c r="F14" s="5">
        <v>44901</v>
      </c>
      <c r="G14" s="2" t="str">
        <f t="shared" si="0"/>
        <v>B</v>
      </c>
      <c r="H14" s="2" t="str">
        <f t="shared" si="1"/>
        <v>Yes</v>
      </c>
      <c r="I14" s="2" t="str">
        <f t="shared" si="2"/>
        <v>Not Eligible</v>
      </c>
      <c r="J14" s="2">
        <f t="shared" ca="1" si="3"/>
        <v>3</v>
      </c>
    </row>
    <row r="15" spans="1:10" x14ac:dyDescent="0.3">
      <c r="A15" s="4">
        <v>1012</v>
      </c>
      <c r="B15" s="4" t="s">
        <v>31</v>
      </c>
      <c r="C15" s="4">
        <v>85</v>
      </c>
      <c r="D15" s="4">
        <v>89</v>
      </c>
      <c r="E15" s="4">
        <v>79</v>
      </c>
      <c r="F15" s="5">
        <v>45081</v>
      </c>
      <c r="G15" s="2" t="str">
        <f t="shared" si="0"/>
        <v>A</v>
      </c>
      <c r="H15" s="2" t="str">
        <f t="shared" si="1"/>
        <v>Yes</v>
      </c>
      <c r="I15" s="2" t="str">
        <f t="shared" si="2"/>
        <v>Eligible</v>
      </c>
      <c r="J15" s="2">
        <f t="shared" ca="1" si="3"/>
        <v>3</v>
      </c>
    </row>
    <row r="16" spans="1:10" x14ac:dyDescent="0.3">
      <c r="A16" s="4">
        <v>1013</v>
      </c>
      <c r="B16" s="4" t="s">
        <v>32</v>
      </c>
      <c r="C16" s="4">
        <v>98</v>
      </c>
      <c r="D16" s="4">
        <v>90</v>
      </c>
      <c r="E16" s="4">
        <v>97</v>
      </c>
      <c r="F16" s="5">
        <v>45261</v>
      </c>
      <c r="G16" s="2" t="str">
        <f t="shared" si="0"/>
        <v>A</v>
      </c>
      <c r="H16" s="2" t="str">
        <f t="shared" si="1"/>
        <v>Yes</v>
      </c>
      <c r="I16" s="2" t="str">
        <f t="shared" si="2"/>
        <v>Eligible</v>
      </c>
      <c r="J16" s="2">
        <f t="shared" ca="1" si="3"/>
        <v>2</v>
      </c>
    </row>
    <row r="17" spans="1:10" x14ac:dyDescent="0.3">
      <c r="A17" s="4">
        <v>1014</v>
      </c>
      <c r="B17" s="4" t="s">
        <v>33</v>
      </c>
      <c r="C17" s="4">
        <v>93</v>
      </c>
      <c r="D17" s="4">
        <v>40</v>
      </c>
      <c r="E17" s="4">
        <v>44</v>
      </c>
      <c r="F17" s="5">
        <v>45441</v>
      </c>
      <c r="G17" s="2" t="str">
        <f t="shared" si="0"/>
        <v>C</v>
      </c>
      <c r="H17" s="2" t="str">
        <f t="shared" si="1"/>
        <v>Yes</v>
      </c>
      <c r="I17" s="2" t="str">
        <f t="shared" si="2"/>
        <v>Not Eligible</v>
      </c>
      <c r="J17" s="2">
        <f t="shared" ca="1" si="3"/>
        <v>2</v>
      </c>
    </row>
    <row r="18" spans="1:10" x14ac:dyDescent="0.3">
      <c r="A18" s="4">
        <v>1015</v>
      </c>
      <c r="B18" s="4" t="s">
        <v>34</v>
      </c>
      <c r="C18" s="4">
        <v>70</v>
      </c>
      <c r="D18" s="4">
        <v>51</v>
      </c>
      <c r="E18" s="4">
        <v>75</v>
      </c>
      <c r="F18" s="5">
        <v>45621</v>
      </c>
      <c r="G18" s="2" t="str">
        <f t="shared" si="0"/>
        <v>B</v>
      </c>
      <c r="H18" s="2" t="str">
        <f t="shared" si="1"/>
        <v>Yes</v>
      </c>
      <c r="I18" s="2" t="str">
        <f t="shared" si="2"/>
        <v>Not Eligible</v>
      </c>
      <c r="J18" s="2">
        <f t="shared" ca="1" si="3"/>
        <v>1</v>
      </c>
    </row>
    <row r="19" spans="1:10" x14ac:dyDescent="0.3">
      <c r="A19" s="4">
        <v>1016</v>
      </c>
      <c r="B19" s="4" t="s">
        <v>35</v>
      </c>
      <c r="C19" s="4">
        <v>98</v>
      </c>
      <c r="D19" s="4">
        <v>77</v>
      </c>
      <c r="E19" s="4">
        <v>60</v>
      </c>
      <c r="F19" s="5">
        <v>45801</v>
      </c>
      <c r="G19" s="2" t="str">
        <f t="shared" si="0"/>
        <v>B</v>
      </c>
      <c r="H19" s="2" t="str">
        <f t="shared" si="1"/>
        <v>Yes</v>
      </c>
      <c r="I19" s="2" t="str">
        <f t="shared" si="2"/>
        <v>Not Eligible</v>
      </c>
      <c r="J19" s="2">
        <f t="shared" ca="1" si="3"/>
        <v>1</v>
      </c>
    </row>
    <row r="20" spans="1:10" x14ac:dyDescent="0.3">
      <c r="A20" s="4">
        <v>1017</v>
      </c>
      <c r="B20" s="4" t="s">
        <v>36</v>
      </c>
      <c r="C20" s="4">
        <v>66</v>
      </c>
      <c r="D20" s="4">
        <v>59</v>
      </c>
      <c r="E20" s="4">
        <v>40</v>
      </c>
      <c r="F20" s="5">
        <v>45981</v>
      </c>
      <c r="G20" s="2" t="str">
        <f t="shared" si="0"/>
        <v>C</v>
      </c>
      <c r="H20" s="2" t="str">
        <f t="shared" si="1"/>
        <v>Yes</v>
      </c>
      <c r="I20" s="2" t="str">
        <f t="shared" si="2"/>
        <v>Not Eligible</v>
      </c>
      <c r="J20" s="2">
        <f t="shared" ca="1" si="3"/>
        <v>0</v>
      </c>
    </row>
    <row r="21" spans="1:10" x14ac:dyDescent="0.3">
      <c r="A21" s="4">
        <v>1018</v>
      </c>
      <c r="B21" s="4" t="s">
        <v>37</v>
      </c>
      <c r="C21" s="4">
        <v>82</v>
      </c>
      <c r="D21" s="4">
        <v>48</v>
      </c>
      <c r="E21" s="4">
        <v>79</v>
      </c>
      <c r="F21" s="5">
        <v>46161</v>
      </c>
      <c r="G21" s="2" t="str">
        <f t="shared" si="0"/>
        <v>B</v>
      </c>
      <c r="H21" s="2" t="str">
        <f t="shared" si="1"/>
        <v>Yes</v>
      </c>
      <c r="I21" s="2" t="str">
        <f t="shared" si="2"/>
        <v>Not Eligible</v>
      </c>
      <c r="J21" s="2">
        <f t="shared" ca="1" si="3"/>
        <v>0</v>
      </c>
    </row>
    <row r="22" spans="1:10" x14ac:dyDescent="0.3">
      <c r="A22" s="4">
        <v>1019</v>
      </c>
      <c r="B22" s="4" t="s">
        <v>38</v>
      </c>
      <c r="C22" s="4">
        <v>90</v>
      </c>
      <c r="D22" s="4">
        <v>78</v>
      </c>
      <c r="E22" s="4">
        <v>60</v>
      </c>
      <c r="F22" s="5">
        <v>46341</v>
      </c>
      <c r="G22" s="2" t="str">
        <f t="shared" si="0"/>
        <v>B</v>
      </c>
      <c r="H22" s="2" t="str">
        <f t="shared" si="1"/>
        <v>Yes</v>
      </c>
      <c r="I22" s="2" t="str">
        <f t="shared" si="2"/>
        <v>Not Eligible</v>
      </c>
      <c r="J22" s="2" t="e">
        <f t="shared" ca="1" si="3"/>
        <v>#NUM!</v>
      </c>
    </row>
    <row r="23" spans="1:10" x14ac:dyDescent="0.3">
      <c r="A23" s="4">
        <v>1020</v>
      </c>
      <c r="B23" s="4" t="s">
        <v>39</v>
      </c>
      <c r="C23" s="4">
        <v>83</v>
      </c>
      <c r="D23" s="4">
        <v>92</v>
      </c>
      <c r="E23" s="4">
        <v>55</v>
      </c>
      <c r="F23" s="5">
        <v>46521</v>
      </c>
      <c r="G23" s="2" t="str">
        <f t="shared" si="0"/>
        <v>B</v>
      </c>
      <c r="H23" s="2" t="str">
        <f t="shared" si="1"/>
        <v>Yes</v>
      </c>
      <c r="I23" s="2" t="str">
        <f t="shared" si="2"/>
        <v>Eligible</v>
      </c>
      <c r="J23" s="2" t="e">
        <f t="shared" ca="1" si="3"/>
        <v>#NUM!</v>
      </c>
    </row>
    <row r="26" spans="1:10" ht="17.399999999999999" x14ac:dyDescent="0.3">
      <c r="A26" s="6" t="s">
        <v>40</v>
      </c>
    </row>
    <row r="27" spans="1:10" x14ac:dyDescent="0.3">
      <c r="A27" s="2" t="s">
        <v>41</v>
      </c>
      <c r="B27" s="2"/>
    </row>
    <row r="28" spans="1:10" x14ac:dyDescent="0.3">
      <c r="A28" s="2" t="s">
        <v>42</v>
      </c>
      <c r="B28" s="2"/>
    </row>
    <row r="29" spans="1:10" x14ac:dyDescent="0.3">
      <c r="A29" s="2" t="s">
        <v>43</v>
      </c>
      <c r="B29" s="2"/>
    </row>
    <row r="31" spans="1:10" x14ac:dyDescent="0.3">
      <c r="A31" s="7" t="s">
        <v>44</v>
      </c>
    </row>
    <row r="32" spans="1:10" x14ac:dyDescent="0.3">
      <c r="A32" s="2"/>
    </row>
  </sheetData>
  <autoFilter ref="A3:J23" xr:uid="{00000000-0009-0000-0000-000001000000}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3"/>
  <sheetViews>
    <sheetView workbookViewId="0">
      <pane ySplit="3" topLeftCell="A4" activePane="bottomLeft" state="frozen"/>
      <selection pane="bottomLeft" sqref="A1:I1"/>
    </sheetView>
  </sheetViews>
  <sheetFormatPr defaultRowHeight="14.4" x14ac:dyDescent="0.3"/>
  <cols>
    <col min="1" max="7" width="14" customWidth="1"/>
    <col min="8" max="8" width="17" customWidth="1"/>
    <col min="9" max="9" width="14" customWidth="1"/>
  </cols>
  <sheetData>
    <row r="1" spans="1:12" ht="21" x14ac:dyDescent="0.3">
      <c r="A1" s="12" t="s">
        <v>45</v>
      </c>
      <c r="B1" s="13"/>
      <c r="C1" s="13"/>
      <c r="D1" s="13"/>
      <c r="E1" s="13"/>
      <c r="F1" s="13"/>
      <c r="G1" s="13"/>
      <c r="H1" s="13"/>
      <c r="I1" s="13"/>
    </row>
    <row r="3" spans="1:12" x14ac:dyDescent="0.3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K3" s="8" t="s">
        <v>47</v>
      </c>
      <c r="L3" s="8" t="s">
        <v>55</v>
      </c>
    </row>
    <row r="4" spans="1:12" x14ac:dyDescent="0.3">
      <c r="A4" s="4">
        <v>2001</v>
      </c>
      <c r="B4" s="4" t="s">
        <v>56</v>
      </c>
      <c r="C4" s="4" t="s">
        <v>57</v>
      </c>
      <c r="D4" s="4" t="s">
        <v>58</v>
      </c>
      <c r="E4" s="9">
        <v>7048</v>
      </c>
      <c r="F4" s="5">
        <v>44927</v>
      </c>
      <c r="G4" s="10">
        <f t="shared" ref="G4:G23" si="0">IF(E4&gt;=40000,10%,IF(E4&gt;=20000,5%,0%))</f>
        <v>0</v>
      </c>
      <c r="H4" s="11">
        <f t="shared" ref="H4:H23" si="1">E4*G4</f>
        <v>0</v>
      </c>
      <c r="I4" s="11">
        <f t="shared" ref="I4:I23" si="2">E4-H4</f>
        <v>7048</v>
      </c>
      <c r="K4" s="2" t="s">
        <v>56</v>
      </c>
      <c r="L4" s="2">
        <v>1200</v>
      </c>
    </row>
    <row r="5" spans="1:12" x14ac:dyDescent="0.3">
      <c r="A5" s="4">
        <v>2002</v>
      </c>
      <c r="B5" s="4" t="s">
        <v>59</v>
      </c>
      <c r="C5" s="4" t="s">
        <v>60</v>
      </c>
      <c r="D5" s="4" t="s">
        <v>61</v>
      </c>
      <c r="E5" s="9">
        <v>17428</v>
      </c>
      <c r="F5" s="5">
        <v>44942</v>
      </c>
      <c r="G5" s="10">
        <f t="shared" si="0"/>
        <v>0</v>
      </c>
      <c r="H5" s="11">
        <f t="shared" si="1"/>
        <v>0</v>
      </c>
      <c r="I5" s="11">
        <f t="shared" si="2"/>
        <v>17428</v>
      </c>
      <c r="K5" s="2" t="s">
        <v>59</v>
      </c>
      <c r="L5" s="2">
        <v>8500</v>
      </c>
    </row>
    <row r="6" spans="1:12" x14ac:dyDescent="0.3">
      <c r="A6" s="4">
        <v>2003</v>
      </c>
      <c r="B6" s="4" t="s">
        <v>62</v>
      </c>
      <c r="C6" s="4" t="s">
        <v>57</v>
      </c>
      <c r="D6" s="4" t="s">
        <v>63</v>
      </c>
      <c r="E6" s="9">
        <v>23672</v>
      </c>
      <c r="F6" s="5">
        <v>44957</v>
      </c>
      <c r="G6" s="10">
        <f t="shared" si="0"/>
        <v>0.05</v>
      </c>
      <c r="H6" s="11">
        <f t="shared" si="1"/>
        <v>1183.6000000000001</v>
      </c>
      <c r="I6" s="11">
        <f t="shared" si="2"/>
        <v>22488.400000000001</v>
      </c>
      <c r="K6" s="2" t="s">
        <v>62</v>
      </c>
      <c r="L6" s="2">
        <v>700</v>
      </c>
    </row>
    <row r="7" spans="1:12" x14ac:dyDescent="0.3">
      <c r="A7" s="4">
        <v>2004</v>
      </c>
      <c r="B7" s="4" t="s">
        <v>59</v>
      </c>
      <c r="C7" s="4" t="s">
        <v>64</v>
      </c>
      <c r="D7" s="4" t="s">
        <v>65</v>
      </c>
      <c r="E7" s="9">
        <v>5264</v>
      </c>
      <c r="F7" s="5">
        <v>44972</v>
      </c>
      <c r="G7" s="10">
        <f t="shared" si="0"/>
        <v>0</v>
      </c>
      <c r="H7" s="11">
        <f t="shared" si="1"/>
        <v>0</v>
      </c>
      <c r="I7" s="11">
        <f t="shared" si="2"/>
        <v>5264</v>
      </c>
      <c r="K7" s="2" t="s">
        <v>66</v>
      </c>
      <c r="L7" s="2">
        <v>15000</v>
      </c>
    </row>
    <row r="8" spans="1:12" x14ac:dyDescent="0.3">
      <c r="A8" s="4">
        <v>2005</v>
      </c>
      <c r="B8" s="4" t="s">
        <v>56</v>
      </c>
      <c r="C8" s="4" t="s">
        <v>67</v>
      </c>
      <c r="D8" s="4" t="s">
        <v>68</v>
      </c>
      <c r="E8" s="9">
        <v>43388</v>
      </c>
      <c r="F8" s="5">
        <v>44987</v>
      </c>
      <c r="G8" s="10">
        <f t="shared" si="0"/>
        <v>0.1</v>
      </c>
      <c r="H8" s="11">
        <f t="shared" si="1"/>
        <v>4338.8</v>
      </c>
      <c r="I8" s="11">
        <f t="shared" si="2"/>
        <v>39049.199999999997</v>
      </c>
      <c r="K8" s="2" t="s">
        <v>69</v>
      </c>
      <c r="L8" s="2">
        <v>55000</v>
      </c>
    </row>
    <row r="9" spans="1:12" x14ac:dyDescent="0.3">
      <c r="A9" s="4">
        <v>2006</v>
      </c>
      <c r="B9" s="4" t="s">
        <v>62</v>
      </c>
      <c r="C9" s="4" t="s">
        <v>67</v>
      </c>
      <c r="D9" s="4" t="s">
        <v>70</v>
      </c>
      <c r="E9" s="9">
        <v>19757</v>
      </c>
      <c r="F9" s="5">
        <v>45002</v>
      </c>
      <c r="G9" s="10">
        <f t="shared" si="0"/>
        <v>0</v>
      </c>
      <c r="H9" s="11">
        <f t="shared" si="1"/>
        <v>0</v>
      </c>
      <c r="I9" s="11">
        <f t="shared" si="2"/>
        <v>19757</v>
      </c>
    </row>
    <row r="10" spans="1:12" x14ac:dyDescent="0.3">
      <c r="A10" s="4">
        <v>2007</v>
      </c>
      <c r="B10" s="4" t="s">
        <v>62</v>
      </c>
      <c r="C10" s="4" t="s">
        <v>64</v>
      </c>
      <c r="D10" s="4" t="s">
        <v>71</v>
      </c>
      <c r="E10" s="9">
        <v>32058</v>
      </c>
      <c r="F10" s="5">
        <v>45017</v>
      </c>
      <c r="G10" s="10">
        <f t="shared" si="0"/>
        <v>0.05</v>
      </c>
      <c r="H10" s="11">
        <f t="shared" si="1"/>
        <v>1602.9</v>
      </c>
      <c r="I10" s="11">
        <f t="shared" si="2"/>
        <v>30455.1</v>
      </c>
    </row>
    <row r="11" spans="1:12" x14ac:dyDescent="0.3">
      <c r="A11" s="4">
        <v>2008</v>
      </c>
      <c r="B11" s="4" t="s">
        <v>56</v>
      </c>
      <c r="C11" s="4" t="s">
        <v>64</v>
      </c>
      <c r="D11" s="4" t="s">
        <v>72</v>
      </c>
      <c r="E11" s="9">
        <v>46429</v>
      </c>
      <c r="F11" s="5">
        <v>45032</v>
      </c>
      <c r="G11" s="10">
        <f t="shared" si="0"/>
        <v>0.1</v>
      </c>
      <c r="H11" s="11">
        <f t="shared" si="1"/>
        <v>4642.9000000000005</v>
      </c>
      <c r="I11" s="11">
        <f t="shared" si="2"/>
        <v>41786.1</v>
      </c>
      <c r="K11" s="2" t="s">
        <v>73</v>
      </c>
      <c r="L11" s="2">
        <f>VLOOKUP(B4,$K$4:$L$8,2,FALSE)</f>
        <v>1200</v>
      </c>
    </row>
    <row r="12" spans="1:12" x14ac:dyDescent="0.3">
      <c r="A12" s="4">
        <v>2009</v>
      </c>
      <c r="B12" s="4" t="s">
        <v>59</v>
      </c>
      <c r="C12" s="4" t="s">
        <v>64</v>
      </c>
      <c r="D12" s="4" t="s">
        <v>74</v>
      </c>
      <c r="E12" s="9">
        <v>19746</v>
      </c>
      <c r="F12" s="5">
        <v>45047</v>
      </c>
      <c r="G12" s="10">
        <f t="shared" si="0"/>
        <v>0</v>
      </c>
      <c r="H12" s="11">
        <f t="shared" si="1"/>
        <v>0</v>
      </c>
      <c r="I12" s="11">
        <f t="shared" si="2"/>
        <v>19746</v>
      </c>
      <c r="K12" s="2" t="s">
        <v>75</v>
      </c>
      <c r="L12" s="2" t="e">
        <f ca="1">_xludf.XLOOKUP(B4,$K$4:$K$8,$L$4:$L$8,"Not Found")</f>
        <v>#NAME?</v>
      </c>
    </row>
    <row r="13" spans="1:12" x14ac:dyDescent="0.3">
      <c r="A13" s="4">
        <v>2010</v>
      </c>
      <c r="B13" s="4" t="s">
        <v>56</v>
      </c>
      <c r="C13" s="4" t="s">
        <v>57</v>
      </c>
      <c r="D13" s="4" t="s">
        <v>76</v>
      </c>
      <c r="E13" s="9">
        <v>35185</v>
      </c>
      <c r="F13" s="5">
        <v>45062</v>
      </c>
      <c r="G13" s="10">
        <f t="shared" si="0"/>
        <v>0.05</v>
      </c>
      <c r="H13" s="11">
        <f t="shared" si="1"/>
        <v>1759.25</v>
      </c>
      <c r="I13" s="11">
        <f t="shared" si="2"/>
        <v>33425.75</v>
      </c>
      <c r="K13" s="2" t="s">
        <v>77</v>
      </c>
      <c r="L13" s="2" t="e">
        <f ca="1">_xludf.XMATCH(B4,$K$4:$K$8)</f>
        <v>#NAME?</v>
      </c>
    </row>
    <row r="14" spans="1:12" x14ac:dyDescent="0.3">
      <c r="A14" s="4">
        <v>2011</v>
      </c>
      <c r="B14" s="4" t="s">
        <v>56</v>
      </c>
      <c r="C14" s="4" t="s">
        <v>64</v>
      </c>
      <c r="D14" s="4" t="s">
        <v>78</v>
      </c>
      <c r="E14" s="9">
        <v>33920</v>
      </c>
      <c r="F14" s="5">
        <v>45077</v>
      </c>
      <c r="G14" s="10">
        <f t="shared" si="0"/>
        <v>0.05</v>
      </c>
      <c r="H14" s="11">
        <f t="shared" si="1"/>
        <v>1696</v>
      </c>
      <c r="I14" s="11">
        <f t="shared" si="2"/>
        <v>32224</v>
      </c>
    </row>
    <row r="15" spans="1:12" x14ac:dyDescent="0.3">
      <c r="A15" s="4">
        <v>2012</v>
      </c>
      <c r="B15" s="4" t="s">
        <v>66</v>
      </c>
      <c r="C15" s="4" t="s">
        <v>67</v>
      </c>
      <c r="D15" s="4" t="s">
        <v>79</v>
      </c>
      <c r="E15" s="9">
        <v>35611</v>
      </c>
      <c r="F15" s="5">
        <v>45092</v>
      </c>
      <c r="G15" s="10">
        <f t="shared" si="0"/>
        <v>0.05</v>
      </c>
      <c r="H15" s="11">
        <f t="shared" si="1"/>
        <v>1780.5500000000002</v>
      </c>
      <c r="I15" s="11">
        <f t="shared" si="2"/>
        <v>33830.449999999997</v>
      </c>
      <c r="K15" s="2" t="s">
        <v>80</v>
      </c>
      <c r="L15" s="2">
        <f>SUMIFS(E4:E23,C4:C23,"South",B4:B23,"Keyboard")</f>
        <v>42233</v>
      </c>
    </row>
    <row r="16" spans="1:12" x14ac:dyDescent="0.3">
      <c r="A16" s="4">
        <v>2013</v>
      </c>
      <c r="B16" s="4" t="s">
        <v>69</v>
      </c>
      <c r="C16" s="4" t="s">
        <v>64</v>
      </c>
      <c r="D16" s="4" t="s">
        <v>81</v>
      </c>
      <c r="E16" s="9">
        <v>15560</v>
      </c>
      <c r="F16" s="5">
        <v>45107</v>
      </c>
      <c r="G16" s="10">
        <f t="shared" si="0"/>
        <v>0</v>
      </c>
      <c r="H16" s="11">
        <f t="shared" si="1"/>
        <v>0</v>
      </c>
      <c r="I16" s="11">
        <f t="shared" si="2"/>
        <v>15560</v>
      </c>
      <c r="K16" s="2" t="s">
        <v>82</v>
      </c>
      <c r="L16" s="2">
        <f>AVERAGEIFS(E4:E23,C4:C23,"East")</f>
        <v>21741.5</v>
      </c>
    </row>
    <row r="17" spans="1:12" x14ac:dyDescent="0.3">
      <c r="A17" s="4">
        <v>2014</v>
      </c>
      <c r="B17" s="4" t="s">
        <v>69</v>
      </c>
      <c r="C17" s="4" t="s">
        <v>57</v>
      </c>
      <c r="D17" s="4" t="s">
        <v>83</v>
      </c>
      <c r="E17" s="9">
        <v>7283</v>
      </c>
      <c r="F17" s="5">
        <v>45122</v>
      </c>
      <c r="G17" s="10">
        <f t="shared" si="0"/>
        <v>0</v>
      </c>
      <c r="H17" s="11">
        <f t="shared" si="1"/>
        <v>0</v>
      </c>
      <c r="I17" s="11">
        <f t="shared" si="2"/>
        <v>7283</v>
      </c>
    </row>
    <row r="18" spans="1:12" x14ac:dyDescent="0.3">
      <c r="A18" s="4">
        <v>2015</v>
      </c>
      <c r="B18" s="4" t="s">
        <v>69</v>
      </c>
      <c r="C18" s="4" t="s">
        <v>64</v>
      </c>
      <c r="D18" s="4" t="s">
        <v>84</v>
      </c>
      <c r="E18" s="9">
        <v>15678</v>
      </c>
      <c r="F18" s="5">
        <v>45137</v>
      </c>
      <c r="G18" s="10">
        <f t="shared" si="0"/>
        <v>0</v>
      </c>
      <c r="H18" s="11">
        <f t="shared" si="1"/>
        <v>0</v>
      </c>
      <c r="I18" s="11">
        <f t="shared" si="2"/>
        <v>15678</v>
      </c>
      <c r="K18" s="2" t="s">
        <v>85</v>
      </c>
      <c r="L18" s="2">
        <f>INDEX(E4:E23,MATCH("Person 10",D4:D23,0))</f>
        <v>35185</v>
      </c>
    </row>
    <row r="19" spans="1:12" x14ac:dyDescent="0.3">
      <c r="A19" s="4">
        <v>2016</v>
      </c>
      <c r="B19" s="4" t="s">
        <v>62</v>
      </c>
      <c r="C19" s="4" t="s">
        <v>64</v>
      </c>
      <c r="D19" s="4" t="s">
        <v>86</v>
      </c>
      <c r="E19" s="9">
        <v>5277</v>
      </c>
      <c r="F19" s="5">
        <v>45152</v>
      </c>
      <c r="G19" s="10">
        <f t="shared" si="0"/>
        <v>0</v>
      </c>
      <c r="H19" s="11">
        <f t="shared" si="1"/>
        <v>0</v>
      </c>
      <c r="I19" s="11">
        <f t="shared" si="2"/>
        <v>5277</v>
      </c>
    </row>
    <row r="20" spans="1:12" x14ac:dyDescent="0.3">
      <c r="A20" s="4">
        <v>2017</v>
      </c>
      <c r="B20" s="4" t="s">
        <v>66</v>
      </c>
      <c r="C20" s="4" t="s">
        <v>67</v>
      </c>
      <c r="D20" s="4" t="s">
        <v>87</v>
      </c>
      <c r="E20" s="9">
        <v>41871</v>
      </c>
      <c r="F20" s="5">
        <v>45167</v>
      </c>
      <c r="G20" s="10">
        <f t="shared" si="0"/>
        <v>0.1</v>
      </c>
      <c r="H20" s="11">
        <f t="shared" si="1"/>
        <v>4187.1000000000004</v>
      </c>
      <c r="I20" s="11">
        <f t="shared" si="2"/>
        <v>37683.9</v>
      </c>
      <c r="K20" s="2" t="s">
        <v>88</v>
      </c>
      <c r="L20" s="2">
        <f ca="1">INDIRECT("E4")</f>
        <v>7048</v>
      </c>
    </row>
    <row r="21" spans="1:12" x14ac:dyDescent="0.3">
      <c r="A21" s="4">
        <v>2018</v>
      </c>
      <c r="B21" s="4" t="s">
        <v>66</v>
      </c>
      <c r="C21" s="4" t="s">
        <v>60</v>
      </c>
      <c r="D21" s="4" t="s">
        <v>89</v>
      </c>
      <c r="E21" s="9">
        <v>38161</v>
      </c>
      <c r="F21" s="5">
        <v>45182</v>
      </c>
      <c r="G21" s="10">
        <f t="shared" si="0"/>
        <v>0.05</v>
      </c>
      <c r="H21" s="11">
        <f t="shared" si="1"/>
        <v>1908.0500000000002</v>
      </c>
      <c r="I21" s="11">
        <f t="shared" si="2"/>
        <v>36252.949999999997</v>
      </c>
      <c r="K21" s="2" t="s">
        <v>90</v>
      </c>
      <c r="L21" s="2">
        <f ca="1">OFFSET(E4,2,0)</f>
        <v>23672</v>
      </c>
    </row>
    <row r="22" spans="1:12" x14ac:dyDescent="0.3">
      <c r="A22" s="4">
        <v>2019</v>
      </c>
      <c r="B22" s="4" t="s">
        <v>62</v>
      </c>
      <c r="C22" s="4" t="s">
        <v>60</v>
      </c>
      <c r="D22" s="4" t="s">
        <v>91</v>
      </c>
      <c r="E22" s="9">
        <v>30436</v>
      </c>
      <c r="F22" s="5">
        <v>45197</v>
      </c>
      <c r="G22" s="10">
        <f t="shared" si="0"/>
        <v>0.05</v>
      </c>
      <c r="H22" s="11">
        <f t="shared" si="1"/>
        <v>1521.8000000000002</v>
      </c>
      <c r="I22" s="11">
        <f t="shared" si="2"/>
        <v>28914.2</v>
      </c>
    </row>
    <row r="23" spans="1:12" x14ac:dyDescent="0.3">
      <c r="A23" s="4">
        <v>2020</v>
      </c>
      <c r="B23" s="4" t="s">
        <v>59</v>
      </c>
      <c r="C23" s="4" t="s">
        <v>60</v>
      </c>
      <c r="D23" s="4" t="s">
        <v>92</v>
      </c>
      <c r="E23" s="9">
        <v>33953</v>
      </c>
      <c r="F23" s="5">
        <v>45212</v>
      </c>
      <c r="G23" s="10">
        <f t="shared" si="0"/>
        <v>0.05</v>
      </c>
      <c r="H23" s="11">
        <f t="shared" si="1"/>
        <v>1697.65</v>
      </c>
      <c r="I23" s="11">
        <f t="shared" si="2"/>
        <v>32255.35</v>
      </c>
    </row>
  </sheetData>
  <autoFilter ref="A3:I23" xr:uid="{00000000-0009-0000-0000-000002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3"/>
  <sheetViews>
    <sheetView workbookViewId="0">
      <pane ySplit="3" topLeftCell="A4" activePane="bottomLeft" state="frozen"/>
      <selection pane="bottomLeft" sqref="A1:D1"/>
    </sheetView>
  </sheetViews>
  <sheetFormatPr defaultRowHeight="14.4" x14ac:dyDescent="0.3"/>
  <cols>
    <col min="1" max="1" width="22" customWidth="1"/>
    <col min="2" max="2" width="30" customWidth="1"/>
    <col min="3" max="3" width="70" customWidth="1"/>
    <col min="4" max="4" width="24" customWidth="1"/>
  </cols>
  <sheetData>
    <row r="1" spans="1:4" ht="21" x14ac:dyDescent="0.3">
      <c r="A1" s="12" t="s">
        <v>129</v>
      </c>
      <c r="B1" s="13"/>
      <c r="C1" s="13"/>
      <c r="D1" s="13"/>
    </row>
    <row r="3" spans="1:4" x14ac:dyDescent="0.3">
      <c r="A3" s="8" t="s">
        <v>130</v>
      </c>
      <c r="B3" s="8" t="s">
        <v>131</v>
      </c>
      <c r="C3" s="8" t="s">
        <v>132</v>
      </c>
      <c r="D3" s="8" t="s">
        <v>133</v>
      </c>
    </row>
    <row r="4" spans="1:4" x14ac:dyDescent="0.3">
      <c r="A4" s="2" t="s">
        <v>134</v>
      </c>
      <c r="B4" s="2" t="s">
        <v>135</v>
      </c>
      <c r="C4" s="2" t="str">
        <f>IF(85&gt;=80,"A","B")</f>
        <v>A</v>
      </c>
      <c r="D4" s="2" t="s">
        <v>136</v>
      </c>
    </row>
    <row r="5" spans="1:4" x14ac:dyDescent="0.3">
      <c r="A5" s="2" t="s">
        <v>137</v>
      </c>
      <c r="B5" s="2" t="s">
        <v>138</v>
      </c>
      <c r="C5" s="2" t="str">
        <f>IF(AND(90&gt;80,85&gt;80),"Eligible","No")</f>
        <v>Eligible</v>
      </c>
      <c r="D5" s="2" t="s">
        <v>139</v>
      </c>
    </row>
    <row r="6" spans="1:4" x14ac:dyDescent="0.3">
      <c r="A6" s="2" t="s">
        <v>140</v>
      </c>
      <c r="B6" s="2" t="s">
        <v>141</v>
      </c>
      <c r="C6" s="2" t="str">
        <f>IF(OR(90&gt;80,50&gt;80),"Eligible","No")</f>
        <v>Eligible</v>
      </c>
      <c r="D6" s="2" t="s">
        <v>139</v>
      </c>
    </row>
    <row r="7" spans="1:4" x14ac:dyDescent="0.3">
      <c r="A7" s="2" t="s">
        <v>142</v>
      </c>
      <c r="B7" s="2" t="s">
        <v>143</v>
      </c>
      <c r="C7" s="2">
        <f>COUNTIFS(Students!C4:C23,"&gt;60")</f>
        <v>19</v>
      </c>
      <c r="D7" s="2" t="s">
        <v>144</v>
      </c>
    </row>
    <row r="8" spans="1:4" x14ac:dyDescent="0.3">
      <c r="A8" s="2" t="s">
        <v>145</v>
      </c>
      <c r="B8" s="2" t="s">
        <v>146</v>
      </c>
      <c r="C8" s="2">
        <f>SUMIFS(Sales!E4:E23,Sales!C4:C23,"South")</f>
        <v>73188</v>
      </c>
      <c r="D8" s="2" t="s">
        <v>147</v>
      </c>
    </row>
    <row r="9" spans="1:4" x14ac:dyDescent="0.3">
      <c r="A9" s="2" t="s">
        <v>148</v>
      </c>
      <c r="B9" s="2" t="s">
        <v>149</v>
      </c>
      <c r="C9" s="2">
        <f>AVERAGEIFS(Sales!E4:E23,Sales!C4:C23,"East")</f>
        <v>21741.5</v>
      </c>
      <c r="D9" s="2" t="s">
        <v>150</v>
      </c>
    </row>
    <row r="10" spans="1:4" x14ac:dyDescent="0.3">
      <c r="A10" s="2" t="s">
        <v>151</v>
      </c>
      <c r="B10" s="2" t="s">
        <v>152</v>
      </c>
      <c r="C10" s="2">
        <f>VLOOKUP("Laptop",Sales!K4:L8,2,FALSE)</f>
        <v>55000</v>
      </c>
      <c r="D10" s="2" t="s">
        <v>153</v>
      </c>
    </row>
    <row r="11" spans="1:4" x14ac:dyDescent="0.3">
      <c r="A11" s="2" t="s">
        <v>154</v>
      </c>
      <c r="B11" s="2" t="s">
        <v>155</v>
      </c>
      <c r="C11" s="2" t="e">
        <f ca="1">_xludf.XLOOKUP(3008,Employees!A4:A23,Employees!D4:D23)</f>
        <v>#NAME?</v>
      </c>
      <c r="D11" s="2" t="s">
        <v>156</v>
      </c>
    </row>
    <row r="12" spans="1:4" x14ac:dyDescent="0.3">
      <c r="A12" s="2" t="s">
        <v>157</v>
      </c>
      <c r="B12" s="2" t="s">
        <v>158</v>
      </c>
      <c r="C12" s="2">
        <f>INDEX(Sales!E4:E23,MATCH("Person 10",Sales!D4:D23,0))</f>
        <v>35185</v>
      </c>
      <c r="D12" s="2" t="s">
        <v>159</v>
      </c>
    </row>
    <row r="13" spans="1:4" x14ac:dyDescent="0.3">
      <c r="A13" s="2" t="s">
        <v>160</v>
      </c>
      <c r="B13" s="2" t="s">
        <v>161</v>
      </c>
      <c r="C13" s="2" t="str">
        <f>LEFT("John Smith",FIND(" ","John Smith")-1)</f>
        <v>John</v>
      </c>
      <c r="D13" s="2" t="s">
        <v>162</v>
      </c>
    </row>
    <row r="14" spans="1:4" x14ac:dyDescent="0.3">
      <c r="A14" s="2" t="s">
        <v>163</v>
      </c>
      <c r="B14" s="2" t="s">
        <v>164</v>
      </c>
      <c r="C14" s="2" t="str">
        <f>UPPER("excel")</f>
        <v>EXCEL</v>
      </c>
      <c r="D14" s="2" t="s">
        <v>165</v>
      </c>
    </row>
    <row r="15" spans="1:4" x14ac:dyDescent="0.3">
      <c r="A15" s="2" t="s">
        <v>166</v>
      </c>
      <c r="B15" s="2" t="s">
        <v>167</v>
      </c>
      <c r="C15" s="2" t="str">
        <f>LOWER("EXCEL")</f>
        <v>excel</v>
      </c>
      <c r="D15" s="2" t="s">
        <v>168</v>
      </c>
    </row>
    <row r="16" spans="1:4" x14ac:dyDescent="0.3">
      <c r="A16" s="2" t="s">
        <v>169</v>
      </c>
      <c r="B16" s="2" t="s">
        <v>170</v>
      </c>
      <c r="C16" s="2" t="e">
        <f ca="1">_xludf.XMATCH("Laptop",Sales!K4:K8)</f>
        <v>#NAME?</v>
      </c>
      <c r="D16" s="2" t="s">
        <v>171</v>
      </c>
    </row>
    <row r="17" spans="1:4" x14ac:dyDescent="0.3">
      <c r="A17" s="2" t="s">
        <v>172</v>
      </c>
      <c r="B17" s="2" t="s">
        <v>173</v>
      </c>
      <c r="C17" s="2">
        <f ca="1">INDIRECT("E4")</f>
        <v>0</v>
      </c>
      <c r="D17" s="2" t="s">
        <v>174</v>
      </c>
    </row>
    <row r="18" spans="1:4" x14ac:dyDescent="0.3">
      <c r="A18" s="2" t="s">
        <v>175</v>
      </c>
      <c r="B18" s="2" t="s">
        <v>176</v>
      </c>
      <c r="C18" s="2">
        <f ca="1">OFFSET(Sales!E4,2,0)</f>
        <v>23672</v>
      </c>
      <c r="D18" s="2" t="s">
        <v>174</v>
      </c>
    </row>
    <row r="19" spans="1:4" x14ac:dyDescent="0.3">
      <c r="A19" s="2" t="s">
        <v>177</v>
      </c>
      <c r="B19" s="2" t="s">
        <v>178</v>
      </c>
      <c r="C19" s="2">
        <f ca="1">DATEDIF(DATE(2018,1,1),TODAY(),"Y")</f>
        <v>8</v>
      </c>
      <c r="D19" s="2" t="s">
        <v>179</v>
      </c>
    </row>
    <row r="20" spans="1:4" x14ac:dyDescent="0.3">
      <c r="A20" s="2" t="s">
        <v>180</v>
      </c>
      <c r="B20" s="2" t="s">
        <v>181</v>
      </c>
      <c r="C20" s="2">
        <f>ROUND(1234.567,2)</f>
        <v>1234.57</v>
      </c>
      <c r="D20" s="2" t="s">
        <v>182</v>
      </c>
    </row>
    <row r="21" spans="1:4" x14ac:dyDescent="0.3">
      <c r="A21" s="2" t="s">
        <v>183</v>
      </c>
      <c r="B21" s="2" t="s">
        <v>184</v>
      </c>
      <c r="C21" s="2">
        <f>CEILING(1234.1,100)</f>
        <v>1300</v>
      </c>
      <c r="D21" s="2" t="s">
        <v>185</v>
      </c>
    </row>
    <row r="22" spans="1:4" x14ac:dyDescent="0.3">
      <c r="A22" s="2" t="s">
        <v>186</v>
      </c>
      <c r="B22" s="2" t="s">
        <v>187</v>
      </c>
      <c r="C22" s="2">
        <f>FLOOR(1234.9,100)</f>
        <v>1200</v>
      </c>
      <c r="D22" s="2" t="s">
        <v>188</v>
      </c>
    </row>
    <row r="23" spans="1:4" x14ac:dyDescent="0.3">
      <c r="A23" s="2" t="s">
        <v>189</v>
      </c>
      <c r="B23" s="2" t="s">
        <v>190</v>
      </c>
      <c r="C23" s="2"/>
      <c r="D23" s="2" t="s">
        <v>191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workbookViewId="0">
      <pane ySplit="3" topLeftCell="A4" activePane="bottomLeft" state="frozen"/>
      <selection pane="bottomLeft" activeCell="K6" sqref="K6"/>
    </sheetView>
  </sheetViews>
  <sheetFormatPr defaultRowHeight="14.4" x14ac:dyDescent="0.3"/>
  <cols>
    <col min="1" max="5" width="14" customWidth="1"/>
    <col min="6" max="6" width="18" customWidth="1"/>
    <col min="7" max="7" width="14" customWidth="1"/>
  </cols>
  <sheetData>
    <row r="1" spans="1:10" ht="21" x14ac:dyDescent="0.3">
      <c r="A1" s="12" t="s">
        <v>93</v>
      </c>
      <c r="B1" s="13"/>
      <c r="C1" s="13"/>
      <c r="D1" s="13"/>
      <c r="E1" s="13"/>
      <c r="F1" s="13"/>
      <c r="G1" s="13"/>
    </row>
    <row r="3" spans="1:10" x14ac:dyDescent="0.3">
      <c r="A3" s="3" t="s">
        <v>94</v>
      </c>
      <c r="B3" s="3" t="s">
        <v>11</v>
      </c>
      <c r="C3" s="3" t="s">
        <v>95</v>
      </c>
      <c r="D3" s="3" t="s">
        <v>96</v>
      </c>
      <c r="E3" s="3" t="s">
        <v>97</v>
      </c>
      <c r="F3" s="3" t="s">
        <v>98</v>
      </c>
      <c r="G3" s="3" t="s">
        <v>99</v>
      </c>
      <c r="I3" s="8" t="s">
        <v>100</v>
      </c>
      <c r="J3" s="8" t="s">
        <v>101</v>
      </c>
    </row>
    <row r="4" spans="1:10" x14ac:dyDescent="0.3">
      <c r="A4" s="4">
        <v>3001</v>
      </c>
      <c r="B4" s="4" t="s">
        <v>102</v>
      </c>
      <c r="C4" s="4" t="s">
        <v>103</v>
      </c>
      <c r="D4" s="9">
        <v>86766</v>
      </c>
      <c r="E4" s="5">
        <v>42005</v>
      </c>
      <c r="F4" s="2">
        <f t="shared" ref="F4:F23" ca="1" si="0">DATEDIF(E4,TODAY(),"Y")</f>
        <v>11</v>
      </c>
      <c r="G4" s="2" t="str">
        <f t="shared" ref="G4:G23" si="1">IF(D4&gt;=100000,"High",IF(D4&gt;=60000,"Medium","Low"))</f>
        <v>Medium</v>
      </c>
      <c r="I4" s="2" t="s">
        <v>94</v>
      </c>
      <c r="J4" s="2">
        <v>3008</v>
      </c>
    </row>
    <row r="5" spans="1:10" x14ac:dyDescent="0.3">
      <c r="A5" s="4">
        <v>3002</v>
      </c>
      <c r="B5" s="4" t="s">
        <v>104</v>
      </c>
      <c r="C5" s="4" t="s">
        <v>103</v>
      </c>
      <c r="D5" s="9">
        <v>31943</v>
      </c>
      <c r="E5" s="5">
        <v>42255</v>
      </c>
      <c r="F5" s="2">
        <f t="shared" ca="1" si="0"/>
        <v>11</v>
      </c>
      <c r="G5" s="2" t="str">
        <f t="shared" si="1"/>
        <v>Low</v>
      </c>
      <c r="I5" s="2" t="s">
        <v>105</v>
      </c>
      <c r="J5" s="2">
        <v>3008</v>
      </c>
    </row>
    <row r="6" spans="1:10" x14ac:dyDescent="0.3">
      <c r="A6" s="4">
        <v>3003</v>
      </c>
      <c r="B6" s="4" t="s">
        <v>106</v>
      </c>
      <c r="C6" s="4" t="s">
        <v>107</v>
      </c>
      <c r="D6" s="9">
        <v>63374</v>
      </c>
      <c r="E6" s="5">
        <v>42505</v>
      </c>
      <c r="F6" s="2">
        <f t="shared" ca="1" si="0"/>
        <v>10</v>
      </c>
      <c r="G6" s="2" t="str">
        <f t="shared" si="1"/>
        <v>Medium</v>
      </c>
      <c r="I6" s="2" t="s">
        <v>108</v>
      </c>
      <c r="J6" s="2">
        <v>3008</v>
      </c>
    </row>
    <row r="7" spans="1:10" x14ac:dyDescent="0.3">
      <c r="A7" s="4">
        <v>3004</v>
      </c>
      <c r="B7" s="4" t="s">
        <v>109</v>
      </c>
      <c r="C7" s="4" t="s">
        <v>103</v>
      </c>
      <c r="D7" s="9">
        <v>109972</v>
      </c>
      <c r="E7" s="5">
        <v>42755</v>
      </c>
      <c r="F7" s="2">
        <f t="shared" ca="1" si="0"/>
        <v>9</v>
      </c>
      <c r="G7" s="2" t="str">
        <f t="shared" si="1"/>
        <v>High</v>
      </c>
      <c r="I7" s="2" t="s">
        <v>110</v>
      </c>
      <c r="J7" s="2">
        <v>3008</v>
      </c>
    </row>
    <row r="8" spans="1:10" x14ac:dyDescent="0.3">
      <c r="A8" s="4">
        <v>3005</v>
      </c>
      <c r="B8" s="4" t="s">
        <v>111</v>
      </c>
      <c r="C8" s="4" t="s">
        <v>112</v>
      </c>
      <c r="D8" s="9">
        <v>54149</v>
      </c>
      <c r="E8" s="5">
        <v>43005</v>
      </c>
      <c r="F8" s="2">
        <f t="shared" ca="1" si="0"/>
        <v>9</v>
      </c>
      <c r="G8" s="2" t="str">
        <f t="shared" si="1"/>
        <v>Low</v>
      </c>
    </row>
    <row r="9" spans="1:10" x14ac:dyDescent="0.3">
      <c r="A9" s="4">
        <v>3006</v>
      </c>
      <c r="B9" s="4" t="s">
        <v>113</v>
      </c>
      <c r="C9" s="4" t="s">
        <v>112</v>
      </c>
      <c r="D9" s="9">
        <v>78689</v>
      </c>
      <c r="E9" s="5">
        <v>43255</v>
      </c>
      <c r="F9" s="2">
        <f t="shared" ca="1" si="0"/>
        <v>8</v>
      </c>
      <c r="G9" s="2" t="str">
        <f t="shared" si="1"/>
        <v>Medium</v>
      </c>
    </row>
    <row r="10" spans="1:10" x14ac:dyDescent="0.3">
      <c r="A10" s="4">
        <v>3007</v>
      </c>
      <c r="B10" s="4" t="s">
        <v>114</v>
      </c>
      <c r="C10" s="4" t="s">
        <v>115</v>
      </c>
      <c r="D10" s="9">
        <v>35960</v>
      </c>
      <c r="E10" s="5">
        <v>43505</v>
      </c>
      <c r="F10" s="2">
        <f t="shared" ca="1" si="0"/>
        <v>7</v>
      </c>
      <c r="G10" s="2" t="str">
        <f t="shared" si="1"/>
        <v>Low</v>
      </c>
    </row>
    <row r="11" spans="1:10" x14ac:dyDescent="0.3">
      <c r="A11" s="4">
        <v>3008</v>
      </c>
      <c r="B11" s="4" t="s">
        <v>116</v>
      </c>
      <c r="C11" s="4" t="s">
        <v>112</v>
      </c>
      <c r="D11" s="9">
        <v>91659</v>
      </c>
      <c r="E11" s="5">
        <v>43755</v>
      </c>
      <c r="F11" s="2">
        <f t="shared" ca="1" si="0"/>
        <v>7</v>
      </c>
      <c r="G11" s="2" t="str">
        <f t="shared" si="1"/>
        <v>Medium</v>
      </c>
    </row>
    <row r="12" spans="1:10" x14ac:dyDescent="0.3">
      <c r="A12" s="4">
        <v>3009</v>
      </c>
      <c r="B12" s="4" t="s">
        <v>117</v>
      </c>
      <c r="C12" s="4" t="s">
        <v>112</v>
      </c>
      <c r="D12" s="9">
        <v>90423</v>
      </c>
      <c r="E12" s="5">
        <v>44005</v>
      </c>
      <c r="F12" s="2">
        <f t="shared" ca="1" si="0"/>
        <v>6</v>
      </c>
      <c r="G12" s="2" t="str">
        <f t="shared" si="1"/>
        <v>Medium</v>
      </c>
    </row>
    <row r="13" spans="1:10" x14ac:dyDescent="0.3">
      <c r="A13" s="4">
        <v>3010</v>
      </c>
      <c r="B13" s="4" t="s">
        <v>118</v>
      </c>
      <c r="C13" s="4" t="s">
        <v>107</v>
      </c>
      <c r="D13" s="9">
        <v>107877</v>
      </c>
      <c r="E13" s="5">
        <v>44255</v>
      </c>
      <c r="F13" s="2">
        <f t="shared" ca="1" si="0"/>
        <v>5</v>
      </c>
      <c r="G13" s="2" t="str">
        <f t="shared" si="1"/>
        <v>High</v>
      </c>
    </row>
    <row r="14" spans="1:10" x14ac:dyDescent="0.3">
      <c r="A14" s="4">
        <v>3011</v>
      </c>
      <c r="B14" s="4" t="s">
        <v>119</v>
      </c>
      <c r="C14" s="4" t="s">
        <v>103</v>
      </c>
      <c r="D14" s="9">
        <v>107634</v>
      </c>
      <c r="E14" s="5">
        <v>44505</v>
      </c>
      <c r="F14" s="2">
        <f t="shared" ca="1" si="0"/>
        <v>4</v>
      </c>
      <c r="G14" s="2" t="str">
        <f t="shared" si="1"/>
        <v>High</v>
      </c>
    </row>
    <row r="15" spans="1:10" x14ac:dyDescent="0.3">
      <c r="A15" s="4">
        <v>3012</v>
      </c>
      <c r="B15" s="4" t="s">
        <v>120</v>
      </c>
      <c r="C15" s="4" t="s">
        <v>103</v>
      </c>
      <c r="D15" s="9">
        <v>35226</v>
      </c>
      <c r="E15" s="5">
        <v>44755</v>
      </c>
      <c r="F15" s="2">
        <f t="shared" ca="1" si="0"/>
        <v>4</v>
      </c>
      <c r="G15" s="2" t="str">
        <f t="shared" si="1"/>
        <v>Low</v>
      </c>
    </row>
    <row r="16" spans="1:10" x14ac:dyDescent="0.3">
      <c r="A16" s="4">
        <v>3013</v>
      </c>
      <c r="B16" s="4" t="s">
        <v>121</v>
      </c>
      <c r="C16" s="4" t="s">
        <v>107</v>
      </c>
      <c r="D16" s="9">
        <v>40872</v>
      </c>
      <c r="E16" s="5">
        <v>45005</v>
      </c>
      <c r="F16" s="2">
        <f t="shared" ca="1" si="0"/>
        <v>3</v>
      </c>
      <c r="G16" s="2" t="str">
        <f t="shared" si="1"/>
        <v>Low</v>
      </c>
    </row>
    <row r="17" spans="1:7" x14ac:dyDescent="0.3">
      <c r="A17" s="4">
        <v>3014</v>
      </c>
      <c r="B17" s="4" t="s">
        <v>122</v>
      </c>
      <c r="C17" s="4" t="s">
        <v>107</v>
      </c>
      <c r="D17" s="9">
        <v>55378</v>
      </c>
      <c r="E17" s="5">
        <v>45255</v>
      </c>
      <c r="F17" s="2">
        <f t="shared" ca="1" si="0"/>
        <v>2</v>
      </c>
      <c r="G17" s="2" t="str">
        <f t="shared" si="1"/>
        <v>Low</v>
      </c>
    </row>
    <row r="18" spans="1:7" x14ac:dyDescent="0.3">
      <c r="A18" s="4">
        <v>3015</v>
      </c>
      <c r="B18" s="4" t="s">
        <v>123</v>
      </c>
      <c r="C18" s="4" t="s">
        <v>107</v>
      </c>
      <c r="D18" s="9">
        <v>63297</v>
      </c>
      <c r="E18" s="5">
        <v>45505</v>
      </c>
      <c r="F18" s="2">
        <f t="shared" ca="1" si="0"/>
        <v>2</v>
      </c>
      <c r="G18" s="2" t="str">
        <f t="shared" si="1"/>
        <v>Medium</v>
      </c>
    </row>
    <row r="19" spans="1:7" x14ac:dyDescent="0.3">
      <c r="A19" s="4">
        <v>3016</v>
      </c>
      <c r="B19" s="4" t="s">
        <v>124</v>
      </c>
      <c r="C19" s="4" t="s">
        <v>103</v>
      </c>
      <c r="D19" s="9">
        <v>114173</v>
      </c>
      <c r="E19" s="5">
        <v>45755</v>
      </c>
      <c r="F19" s="2">
        <f t="shared" ca="1" si="0"/>
        <v>1</v>
      </c>
      <c r="G19" s="2" t="str">
        <f t="shared" si="1"/>
        <v>High</v>
      </c>
    </row>
    <row r="20" spans="1:7" x14ac:dyDescent="0.3">
      <c r="A20" s="4">
        <v>3017</v>
      </c>
      <c r="B20" s="4" t="s">
        <v>125</v>
      </c>
      <c r="C20" s="4" t="s">
        <v>107</v>
      </c>
      <c r="D20" s="9">
        <v>86915</v>
      </c>
      <c r="E20" s="5">
        <v>46005</v>
      </c>
      <c r="F20" s="2">
        <f t="shared" ca="1" si="0"/>
        <v>0</v>
      </c>
      <c r="G20" s="2" t="str">
        <f t="shared" si="1"/>
        <v>Medium</v>
      </c>
    </row>
    <row r="21" spans="1:7" x14ac:dyDescent="0.3">
      <c r="A21" s="4">
        <v>3018</v>
      </c>
      <c r="B21" s="4" t="s">
        <v>126</v>
      </c>
      <c r="C21" s="4" t="s">
        <v>112</v>
      </c>
      <c r="D21" s="9">
        <v>116284</v>
      </c>
      <c r="E21" s="5">
        <v>46255</v>
      </c>
      <c r="F21" s="2">
        <f t="shared" ca="1" si="0"/>
        <v>0</v>
      </c>
      <c r="G21" s="2" t="str">
        <f t="shared" si="1"/>
        <v>High</v>
      </c>
    </row>
    <row r="22" spans="1:7" x14ac:dyDescent="0.3">
      <c r="A22" s="4">
        <v>3019</v>
      </c>
      <c r="B22" s="4" t="s">
        <v>127</v>
      </c>
      <c r="C22" s="4" t="s">
        <v>115</v>
      </c>
      <c r="D22" s="9">
        <v>116283</v>
      </c>
      <c r="E22" s="5">
        <v>46505</v>
      </c>
      <c r="F22" s="2" t="e">
        <f t="shared" ca="1" si="0"/>
        <v>#NUM!</v>
      </c>
      <c r="G22" s="2" t="str">
        <f t="shared" si="1"/>
        <v>High</v>
      </c>
    </row>
    <row r="23" spans="1:7" x14ac:dyDescent="0.3">
      <c r="A23" s="4">
        <v>3020</v>
      </c>
      <c r="B23" s="4" t="s">
        <v>128</v>
      </c>
      <c r="C23" s="4" t="s">
        <v>115</v>
      </c>
      <c r="D23" s="9">
        <v>99924</v>
      </c>
      <c r="E23" s="5">
        <v>46755</v>
      </c>
      <c r="F23" s="2" t="e">
        <f t="shared" ca="1" si="0"/>
        <v>#NUM!</v>
      </c>
      <c r="G23" s="2" t="str">
        <f t="shared" si="1"/>
        <v>Medium</v>
      </c>
    </row>
  </sheetData>
  <autoFilter ref="A3:G23" xr:uid="{00000000-0009-0000-0000-000003000000}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Students</vt:lpstr>
      <vt:lpstr>Sales</vt:lpstr>
      <vt:lpstr>Functions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Rushi Dode</cp:lastModifiedBy>
  <dcterms:created xsi:type="dcterms:W3CDTF">2026-10-04T11:58:27Z</dcterms:created>
  <dcterms:modified xsi:type="dcterms:W3CDTF">2026-10-18T03:57:15Z</dcterms:modified>
</cp:coreProperties>
</file>